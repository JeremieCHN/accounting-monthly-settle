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输入1-入库记录" sheetId="1" r:id="rId1"/>
    <sheet name="输入2-期初" sheetId="2" r:id="rId2"/>
    <sheet name="输入3-出库" sheetId="3" r:id="rId3"/>
    <sheet name="输出1-期末库存" sheetId="4" r:id="rId4"/>
    <sheet name="输出2-出库成本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<sst xmlns="http://schemas.openxmlformats.org/spreadsheetml/2006/main" count="85" uniqueCount="29">
  <si>
    <t>进货日期</t>
  </si>
  <si>
    <t>物料名称</t>
  </si>
  <si>
    <t>数量</t>
  </si>
  <si>
    <t>单价</t>
  </si>
  <si>
    <t>税率</t>
  </si>
  <si>
    <t>金额</t>
  </si>
  <si>
    <t>蒸笼</t>
  </si>
  <si>
    <t>蒸笼盖</t>
  </si>
  <si>
    <t>日晒盐</t>
  </si>
  <si>
    <t>满杯凤梨冰柠茶</t>
  </si>
  <si>
    <t>【绿优原生】有
机山茶油原香型</t>
  </si>
  <si>
    <t>佳珍真辣椒酱</t>
  </si>
  <si>
    <t>切片腊肉</t>
  </si>
  <si>
    <t>切片腊肠</t>
  </si>
  <si>
    <t>丝苗米（4袋/箱）-BJYK</t>
  </si>
  <si>
    <t>脆皮猪手</t>
  </si>
  <si>
    <t>盐焗乳鸽</t>
  </si>
  <si>
    <t>小花菇</t>
  </si>
  <si>
    <t>虾饺</t>
  </si>
  <si>
    <t>糟辣椒</t>
  </si>
  <si>
    <t>冰糖糖浆</t>
  </si>
  <si>
    <t>干蒸烧卖</t>
  </si>
  <si>
    <t>流沙包</t>
  </si>
  <si>
    <t>凤梨风味饮料浓浆</t>
  </si>
  <si>
    <t>金鲳鱼</t>
  </si>
  <si>
    <t>花菇</t>
  </si>
  <si>
    <t>牛肝菌鲜货-B级-10公斤</t>
  </si>
  <si>
    <t>脆皮奶卷</t>
  </si>
  <si>
    <t>辣味香益生菌发酵红酸汤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</si>
</sst>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3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2"/>
  <sheetViews>
    <sheetView tabSelected="1" workbookViewId="0">
      <selection activeCell="J32" sqref="J32"/>
    </sheetView>
  </sheetViews>
  <sheetFormatPr defaultColWidth="9" defaultRowHeight="13.5" outlineLevelCol="5"/>
  <cols>
    <col min="1" max="1" width="12.975" style="3" customWidth="1"/>
    <col min="2" max="2" width="42.1583333333333" style="3" customWidth="1"/>
    <col min="3" max="3" width="8.99166666666667" style="3"/>
    <col min="4" max="4" width="12.8916666666667" style="3"/>
    <col min="5" max="5" width="14.0916666666667" style="3" customWidth="1"/>
    <col min="6" max="6" width="15.7166666666667" style="3" customWidth="1"/>
  </cols>
  <sheetData>
    <row r="1" ht="14.2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</row>
    <row r="2" spans="1:6">
      <c r="A2" s="5">
        <v>46113</v>
      </c>
      <c r="B2" s="2" t="s">
        <v>6</v>
      </c>
      <c r="C2" s="2">
        <v>23</v>
      </c>
      <c r="D2" s="2">
        <v>7.1</v>
      </c>
      <c r="E2" s="2">
        <v>0.01</v>
      </c>
      <c r="F2" s="6">
        <f t="shared" ref="F2:F62" si="0">C2*D2</f>
        <v>163.3</v>
      </c>
    </row>
    <row r="3" spans="1:6">
      <c r="A3" s="5">
        <v>46113</v>
      </c>
      <c r="B3" s="2" t="s">
        <v>7</v>
      </c>
      <c r="C3" s="2">
        <v>2</v>
      </c>
      <c r="D3" s="2">
        <v>7.1</v>
      </c>
      <c r="E3" s="2">
        <v>0.01</v>
      </c>
      <c r="F3" s="6">
        <f t="shared" si="0"/>
        <v>14.2</v>
      </c>
    </row>
    <row r="4" spans="1:6">
      <c r="A4" s="5">
        <v>46113</v>
      </c>
      <c r="B4" s="2" t="s">
        <v>8</v>
      </c>
      <c r="C4" s="2">
        <v>200</v>
      </c>
      <c r="D4" s="2">
        <v>61.5</v>
      </c>
      <c r="E4" s="2">
        <v>0.09</v>
      </c>
      <c r="F4" s="6">
        <f t="shared" si="0"/>
        <v>12300</v>
      </c>
    </row>
    <row r="5" spans="1:6">
      <c r="A5" s="5">
        <v>46115</v>
      </c>
      <c r="B5" s="2" t="s">
        <v>9</v>
      </c>
      <c r="C5" s="2">
        <v>4600</v>
      </c>
      <c r="D5" s="2">
        <v>3.9</v>
      </c>
      <c r="E5" s="2">
        <v>0.13</v>
      </c>
      <c r="F5" s="6">
        <f t="shared" si="0"/>
        <v>17940</v>
      </c>
    </row>
    <row r="6" spans="1:6">
      <c r="A6" s="5">
        <v>46115</v>
      </c>
      <c r="B6" s="2" t="s">
        <v>10</v>
      </c>
      <c r="C6" s="2">
        <v>405</v>
      </c>
      <c r="D6" s="2">
        <v>70</v>
      </c>
      <c r="E6" s="2">
        <v>0.09</v>
      </c>
      <c r="F6" s="6">
        <f t="shared" si="0"/>
        <v>28350</v>
      </c>
    </row>
    <row r="7" spans="1:6">
      <c r="A7" s="5">
        <v>46115</v>
      </c>
      <c r="B7" s="2" t="s">
        <v>9</v>
      </c>
      <c r="C7" s="2">
        <v>7875</v>
      </c>
      <c r="D7" s="2">
        <v>3.9</v>
      </c>
      <c r="E7" s="2">
        <v>0.13</v>
      </c>
      <c r="F7" s="6">
        <f t="shared" si="0"/>
        <v>30712.5</v>
      </c>
    </row>
    <row r="8" spans="1:6">
      <c r="A8" s="5">
        <v>46119</v>
      </c>
      <c r="B8" s="2" t="s">
        <v>11</v>
      </c>
      <c r="C8" s="2">
        <v>40</v>
      </c>
      <c r="D8" s="2">
        <v>12.4</v>
      </c>
      <c r="E8" s="2">
        <v>0.03</v>
      </c>
      <c r="F8" s="6">
        <f t="shared" si="0"/>
        <v>496</v>
      </c>
    </row>
    <row r="9" spans="1:6">
      <c r="A9" s="5">
        <v>46119</v>
      </c>
      <c r="B9" s="2" t="s">
        <v>12</v>
      </c>
      <c r="C9" s="2">
        <v>200</v>
      </c>
      <c r="D9" s="2">
        <v>38.5</v>
      </c>
      <c r="E9" s="2">
        <v>0.01</v>
      </c>
      <c r="F9" s="6">
        <f t="shared" si="0"/>
        <v>7700</v>
      </c>
    </row>
    <row r="10" spans="1:6">
      <c r="A10" s="5">
        <v>46119</v>
      </c>
      <c r="B10" s="2" t="s">
        <v>13</v>
      </c>
      <c r="C10" s="2">
        <v>150</v>
      </c>
      <c r="D10" s="2">
        <v>34.5</v>
      </c>
      <c r="E10" s="2">
        <v>0.01</v>
      </c>
      <c r="F10" s="6">
        <f t="shared" si="0"/>
        <v>5175</v>
      </c>
    </row>
    <row r="11" spans="1:6">
      <c r="A11" s="5">
        <v>46119</v>
      </c>
      <c r="B11" s="2" t="s">
        <v>14</v>
      </c>
      <c r="C11" s="2">
        <v>800</v>
      </c>
      <c r="D11" s="2">
        <v>6.5</v>
      </c>
      <c r="E11" s="2">
        <v>0.09</v>
      </c>
      <c r="F11" s="6">
        <f t="shared" si="0"/>
        <v>5200</v>
      </c>
    </row>
    <row r="12" spans="1:6">
      <c r="A12" s="5">
        <v>46116</v>
      </c>
      <c r="B12" s="2" t="s">
        <v>15</v>
      </c>
      <c r="C12" s="2">
        <v>250</v>
      </c>
      <c r="D12" s="2">
        <v>32</v>
      </c>
      <c r="E12" s="2">
        <v>0.01</v>
      </c>
      <c r="F12" s="6">
        <f t="shared" si="0"/>
        <v>8000</v>
      </c>
    </row>
    <row r="13" spans="1:6">
      <c r="A13" s="5">
        <v>46118</v>
      </c>
      <c r="B13" s="2" t="s">
        <v>15</v>
      </c>
      <c r="C13" s="2">
        <v>100</v>
      </c>
      <c r="D13" s="2">
        <v>29</v>
      </c>
      <c r="E13" s="2">
        <v>0.01</v>
      </c>
      <c r="F13" s="6">
        <f t="shared" si="0"/>
        <v>2900</v>
      </c>
    </row>
    <row r="14" spans="1:6">
      <c r="A14" s="5">
        <v>46122</v>
      </c>
      <c r="B14" s="2" t="s">
        <v>16</v>
      </c>
      <c r="C14" s="2">
        <v>200</v>
      </c>
      <c r="D14" s="2">
        <v>20</v>
      </c>
      <c r="E14" s="2">
        <v>0.09</v>
      </c>
      <c r="F14" s="6">
        <f t="shared" si="0"/>
        <v>4000</v>
      </c>
    </row>
    <row r="15" spans="1:6">
      <c r="A15" s="5">
        <v>46117</v>
      </c>
      <c r="B15" s="2" t="s">
        <v>8</v>
      </c>
      <c r="C15" s="2">
        <v>200</v>
      </c>
      <c r="D15" s="2">
        <v>61.5</v>
      </c>
      <c r="E15" s="2">
        <v>0.09</v>
      </c>
      <c r="F15" s="6">
        <f t="shared" si="0"/>
        <v>12300</v>
      </c>
    </row>
    <row r="16" spans="1:6">
      <c r="A16" s="5">
        <v>46118</v>
      </c>
      <c r="B16" s="2" t="s">
        <v>17</v>
      </c>
      <c r="C16" s="2">
        <v>100</v>
      </c>
      <c r="D16" s="2">
        <v>46</v>
      </c>
      <c r="E16" s="2">
        <v>0.09</v>
      </c>
      <c r="F16" s="6">
        <f t="shared" si="0"/>
        <v>4600</v>
      </c>
    </row>
    <row r="17" spans="1:6">
      <c r="A17" s="5">
        <v>46124</v>
      </c>
      <c r="B17" s="2" t="s">
        <v>18</v>
      </c>
      <c r="C17" s="2">
        <v>160</v>
      </c>
      <c r="D17" s="2">
        <v>27.375</v>
      </c>
      <c r="E17" s="2">
        <v>0.13</v>
      </c>
      <c r="F17" s="6">
        <f t="shared" si="0"/>
        <v>4380</v>
      </c>
    </row>
    <row r="18" spans="1:6">
      <c r="A18" s="5">
        <v>46116</v>
      </c>
      <c r="B18" s="2" t="s">
        <v>19</v>
      </c>
      <c r="C18" s="2">
        <v>15</v>
      </c>
      <c r="D18" s="2">
        <v>39</v>
      </c>
      <c r="E18" s="2">
        <v>0.13</v>
      </c>
      <c r="F18" s="6">
        <f t="shared" si="0"/>
        <v>585</v>
      </c>
    </row>
    <row r="19" spans="1:6">
      <c r="A19" s="5">
        <v>46120</v>
      </c>
      <c r="B19" s="2" t="s">
        <v>8</v>
      </c>
      <c r="C19" s="2">
        <v>200</v>
      </c>
      <c r="D19" s="2">
        <v>61.5</v>
      </c>
      <c r="E19" s="2">
        <v>0.09</v>
      </c>
      <c r="F19" s="6">
        <f t="shared" si="0"/>
        <v>12300</v>
      </c>
    </row>
    <row r="20" spans="1:6">
      <c r="A20" s="5">
        <v>46120</v>
      </c>
      <c r="B20" s="2" t="s">
        <v>20</v>
      </c>
      <c r="C20" s="2">
        <v>48</v>
      </c>
      <c r="D20" s="2">
        <v>31.8</v>
      </c>
      <c r="E20" s="2">
        <v>0.13</v>
      </c>
      <c r="F20" s="6">
        <f t="shared" si="0"/>
        <v>1526.4</v>
      </c>
    </row>
    <row r="21" spans="1:6">
      <c r="A21" s="5">
        <v>46120</v>
      </c>
      <c r="B21" s="2" t="s">
        <v>18</v>
      </c>
      <c r="C21" s="2">
        <v>320</v>
      </c>
      <c r="D21" s="2">
        <v>29.25</v>
      </c>
      <c r="E21" s="2">
        <v>0.13</v>
      </c>
      <c r="F21" s="6">
        <f t="shared" si="0"/>
        <v>9360</v>
      </c>
    </row>
    <row r="22" spans="1:6">
      <c r="A22" s="5">
        <v>46120</v>
      </c>
      <c r="B22" s="2" t="s">
        <v>21</v>
      </c>
      <c r="C22" s="2">
        <v>80</v>
      </c>
      <c r="D22" s="2">
        <v>19</v>
      </c>
      <c r="E22" s="2">
        <v>0.13</v>
      </c>
      <c r="F22" s="6">
        <f t="shared" si="0"/>
        <v>1520</v>
      </c>
    </row>
    <row r="23" spans="1:6">
      <c r="A23" s="5">
        <v>46120</v>
      </c>
      <c r="B23" s="2" t="s">
        <v>22</v>
      </c>
      <c r="C23" s="2">
        <v>180</v>
      </c>
      <c r="D23" s="2">
        <v>14.555555</v>
      </c>
      <c r="E23" s="2">
        <v>0.13</v>
      </c>
      <c r="F23" s="6">
        <f t="shared" si="0"/>
        <v>2619.9999</v>
      </c>
    </row>
    <row r="24" spans="1:6">
      <c r="A24" s="5">
        <v>46120</v>
      </c>
      <c r="B24" s="2" t="s">
        <v>18</v>
      </c>
      <c r="C24" s="2">
        <v>80</v>
      </c>
      <c r="D24" s="2">
        <v>28.25</v>
      </c>
      <c r="E24" s="2">
        <v>0.13</v>
      </c>
      <c r="F24" s="6">
        <f t="shared" si="0"/>
        <v>2260</v>
      </c>
    </row>
    <row r="25" spans="1:6">
      <c r="A25" s="5">
        <v>46120</v>
      </c>
      <c r="B25" s="2" t="s">
        <v>21</v>
      </c>
      <c r="C25" s="2">
        <v>24</v>
      </c>
      <c r="D25" s="2">
        <v>18</v>
      </c>
      <c r="E25" s="2">
        <v>0.13</v>
      </c>
      <c r="F25" s="6">
        <f t="shared" si="0"/>
        <v>432</v>
      </c>
    </row>
    <row r="26" spans="1:6">
      <c r="A26" s="5">
        <v>46120</v>
      </c>
      <c r="B26" s="2" t="s">
        <v>22</v>
      </c>
      <c r="C26" s="2">
        <v>54</v>
      </c>
      <c r="D26" s="2">
        <v>14.111111</v>
      </c>
      <c r="E26" s="2">
        <v>0.13</v>
      </c>
      <c r="F26" s="6">
        <f t="shared" si="0"/>
        <v>761.999994</v>
      </c>
    </row>
    <row r="27" spans="1:6">
      <c r="A27" s="5">
        <v>46123</v>
      </c>
      <c r="B27" s="2" t="s">
        <v>10</v>
      </c>
      <c r="C27" s="2">
        <v>405</v>
      </c>
      <c r="D27" s="2">
        <v>70</v>
      </c>
      <c r="E27" s="2">
        <v>0.09</v>
      </c>
      <c r="F27" s="6">
        <f t="shared" si="0"/>
        <v>28350</v>
      </c>
    </row>
    <row r="28" spans="1:6">
      <c r="A28" s="5">
        <v>46122</v>
      </c>
      <c r="B28" s="2" t="s">
        <v>23</v>
      </c>
      <c r="C28" s="2">
        <v>1250</v>
      </c>
      <c r="D28" s="2">
        <v>2.8</v>
      </c>
      <c r="E28" s="2">
        <v>0.13</v>
      </c>
      <c r="F28" s="6">
        <f t="shared" si="0"/>
        <v>3500</v>
      </c>
    </row>
    <row r="29" spans="1:6">
      <c r="A29" s="5">
        <v>46124</v>
      </c>
      <c r="B29" s="2" t="s">
        <v>8</v>
      </c>
      <c r="C29" s="2">
        <v>200</v>
      </c>
      <c r="D29" s="2">
        <v>61.5</v>
      </c>
      <c r="E29" s="2">
        <v>0.09</v>
      </c>
      <c r="F29" s="6">
        <f t="shared" si="0"/>
        <v>12300</v>
      </c>
    </row>
    <row r="30" spans="1:6">
      <c r="A30" s="5">
        <v>46134</v>
      </c>
      <c r="B30" s="2" t="s">
        <v>11</v>
      </c>
      <c r="C30" s="2">
        <v>20</v>
      </c>
      <c r="D30" s="2">
        <v>12.4</v>
      </c>
      <c r="E30" s="2">
        <v>0.03</v>
      </c>
      <c r="F30" s="6">
        <f t="shared" si="0"/>
        <v>248</v>
      </c>
    </row>
    <row r="31" spans="1:6">
      <c r="A31" s="5">
        <v>46135</v>
      </c>
      <c r="B31" s="2" t="s">
        <v>12</v>
      </c>
      <c r="C31" s="2">
        <v>450</v>
      </c>
      <c r="D31" s="2">
        <v>38.5</v>
      </c>
      <c r="E31" s="2">
        <v>0.01</v>
      </c>
      <c r="F31" s="6">
        <f t="shared" si="0"/>
        <v>17325</v>
      </c>
    </row>
    <row r="32" spans="1:6">
      <c r="A32" s="5">
        <v>46135</v>
      </c>
      <c r="B32" s="2" t="s">
        <v>13</v>
      </c>
      <c r="C32" s="2">
        <v>250</v>
      </c>
      <c r="D32" s="2">
        <v>34.5</v>
      </c>
      <c r="E32" s="2">
        <v>0.01</v>
      </c>
      <c r="F32" s="6">
        <f t="shared" si="0"/>
        <v>8625</v>
      </c>
    </row>
    <row r="33" spans="1:6">
      <c r="A33" s="5">
        <v>46135</v>
      </c>
      <c r="B33" s="2" t="s">
        <v>14</v>
      </c>
      <c r="C33" s="2">
        <v>2000</v>
      </c>
      <c r="D33" s="2">
        <v>6.5</v>
      </c>
      <c r="E33" s="2">
        <v>0.09</v>
      </c>
      <c r="F33" s="6">
        <f t="shared" si="0"/>
        <v>13000</v>
      </c>
    </row>
    <row r="34" spans="1:6">
      <c r="A34" s="5">
        <v>46134</v>
      </c>
      <c r="B34" s="2" t="s">
        <v>15</v>
      </c>
      <c r="C34" s="2">
        <v>350</v>
      </c>
      <c r="D34" s="2">
        <v>29</v>
      </c>
      <c r="E34" s="2">
        <v>0.01</v>
      </c>
      <c r="F34" s="6">
        <f t="shared" si="0"/>
        <v>10150</v>
      </c>
    </row>
    <row r="35" spans="1:6">
      <c r="A35" s="5">
        <v>46113</v>
      </c>
      <c r="B35" s="2" t="s">
        <v>24</v>
      </c>
      <c r="C35" s="2">
        <v>250</v>
      </c>
      <c r="D35" s="2">
        <v>17.108</v>
      </c>
      <c r="E35" s="2">
        <v>0.09</v>
      </c>
      <c r="F35" s="6">
        <f t="shared" si="0"/>
        <v>4277</v>
      </c>
    </row>
    <row r="36" spans="1:6">
      <c r="A36" s="5">
        <v>46126</v>
      </c>
      <c r="B36" s="2" t="s">
        <v>20</v>
      </c>
      <c r="C36" s="2">
        <v>32</v>
      </c>
      <c r="D36" s="2">
        <v>31.8</v>
      </c>
      <c r="E36" s="2">
        <v>0.13</v>
      </c>
      <c r="F36" s="6">
        <f t="shared" si="0"/>
        <v>1017.6</v>
      </c>
    </row>
    <row r="37" spans="1:6">
      <c r="A37" s="7">
        <v>46125</v>
      </c>
      <c r="B37" s="2" t="s">
        <v>8</v>
      </c>
      <c r="C37" s="2">
        <v>200</v>
      </c>
      <c r="D37" s="2">
        <v>61.5</v>
      </c>
      <c r="E37" s="2">
        <v>0.09</v>
      </c>
      <c r="F37" s="6">
        <f t="shared" si="0"/>
        <v>12300</v>
      </c>
    </row>
    <row r="38" spans="1:6">
      <c r="A38" s="7">
        <v>46119</v>
      </c>
      <c r="B38" s="2" t="s">
        <v>8</v>
      </c>
      <c r="C38" s="2">
        <v>200</v>
      </c>
      <c r="D38" s="2">
        <v>61.5</v>
      </c>
      <c r="E38" s="2">
        <v>0.09</v>
      </c>
      <c r="F38" s="6">
        <f t="shared" si="0"/>
        <v>12300</v>
      </c>
    </row>
    <row r="39" spans="1:6">
      <c r="A39" s="5">
        <v>46126</v>
      </c>
      <c r="B39" s="2" t="s">
        <v>20</v>
      </c>
      <c r="C39" s="2">
        <v>72</v>
      </c>
      <c r="D39" s="2">
        <v>31.8</v>
      </c>
      <c r="E39" s="2">
        <v>0.13</v>
      </c>
      <c r="F39" s="6">
        <f t="shared" si="0"/>
        <v>2289.6</v>
      </c>
    </row>
    <row r="40" spans="1:6">
      <c r="A40" s="7">
        <v>46131</v>
      </c>
      <c r="B40" s="2" t="s">
        <v>17</v>
      </c>
      <c r="C40" s="2">
        <v>120</v>
      </c>
      <c r="D40" s="2">
        <v>46</v>
      </c>
      <c r="E40" s="2">
        <v>0.09</v>
      </c>
      <c r="F40" s="6">
        <f t="shared" si="0"/>
        <v>5520</v>
      </c>
    </row>
    <row r="41" spans="1:6">
      <c r="A41" s="7">
        <v>46128</v>
      </c>
      <c r="B41" s="2" t="s">
        <v>8</v>
      </c>
      <c r="C41" s="2">
        <v>200</v>
      </c>
      <c r="D41" s="2">
        <v>61.5</v>
      </c>
      <c r="E41" s="2">
        <v>0.09</v>
      </c>
      <c r="F41" s="6">
        <f t="shared" si="0"/>
        <v>12300</v>
      </c>
    </row>
    <row r="42" spans="1:6">
      <c r="A42" s="7">
        <v>46132</v>
      </c>
      <c r="B42" s="2" t="s">
        <v>8</v>
      </c>
      <c r="C42" s="2">
        <v>200</v>
      </c>
      <c r="D42" s="2">
        <v>61.5</v>
      </c>
      <c r="E42" s="2">
        <v>0.09</v>
      </c>
      <c r="F42" s="6">
        <f t="shared" si="0"/>
        <v>12300</v>
      </c>
    </row>
    <row r="43" spans="1:6">
      <c r="A43" s="8">
        <v>46139</v>
      </c>
      <c r="B43" s="9" t="s">
        <v>25</v>
      </c>
      <c r="C43" s="9">
        <v>-92</v>
      </c>
      <c r="D43" s="9">
        <v>43</v>
      </c>
      <c r="E43" s="9">
        <v>0.09</v>
      </c>
      <c r="F43" s="10">
        <f t="shared" si="0"/>
        <v>-3956</v>
      </c>
    </row>
    <row r="44" spans="1:6">
      <c r="A44" s="5">
        <v>46136</v>
      </c>
      <c r="B44" s="2" t="s">
        <v>26</v>
      </c>
      <c r="C44" s="2">
        <v>1153</v>
      </c>
      <c r="D44" s="2">
        <v>53</v>
      </c>
      <c r="E44" s="2">
        <v>0.09</v>
      </c>
      <c r="F44" s="6">
        <f t="shared" si="0"/>
        <v>61109</v>
      </c>
    </row>
    <row r="45" spans="1:6">
      <c r="A45" s="5">
        <v>46135</v>
      </c>
      <c r="B45" s="2" t="s">
        <v>10</v>
      </c>
      <c r="C45" s="2">
        <v>405</v>
      </c>
      <c r="D45" s="2">
        <v>70</v>
      </c>
      <c r="E45" s="2">
        <v>0.09</v>
      </c>
      <c r="F45" s="6">
        <f t="shared" si="0"/>
        <v>28350</v>
      </c>
    </row>
    <row r="46" spans="1:6">
      <c r="A46" s="5">
        <v>46113</v>
      </c>
      <c r="B46" s="2" t="s">
        <v>10</v>
      </c>
      <c r="C46" s="2">
        <v>45</v>
      </c>
      <c r="D46" s="2">
        <v>70</v>
      </c>
      <c r="E46" s="2">
        <v>0.09</v>
      </c>
      <c r="F46" s="6">
        <f t="shared" si="0"/>
        <v>3150</v>
      </c>
    </row>
    <row r="47" spans="1:6">
      <c r="A47" s="5">
        <v>46126</v>
      </c>
      <c r="B47" s="2" t="s">
        <v>27</v>
      </c>
      <c r="C47" s="2">
        <v>5</v>
      </c>
      <c r="D47" s="2">
        <v>134</v>
      </c>
      <c r="E47" s="2">
        <v>0.13</v>
      </c>
      <c r="F47" s="6">
        <f t="shared" si="0"/>
        <v>670</v>
      </c>
    </row>
    <row r="48" spans="1:6">
      <c r="A48" s="5">
        <v>46134</v>
      </c>
      <c r="B48" s="2" t="s">
        <v>8</v>
      </c>
      <c r="C48" s="2">
        <v>200</v>
      </c>
      <c r="D48" s="2">
        <v>61.5</v>
      </c>
      <c r="E48" s="2">
        <v>0.09</v>
      </c>
      <c r="F48" s="6">
        <f t="shared" si="0"/>
        <v>12300</v>
      </c>
    </row>
    <row r="49" spans="1:6">
      <c r="A49" s="5">
        <v>46121</v>
      </c>
      <c r="B49" s="2" t="s">
        <v>28</v>
      </c>
      <c r="C49" s="2">
        <v>5</v>
      </c>
      <c r="D49" s="2">
        <v>270</v>
      </c>
      <c r="E49" s="2">
        <v>0.13</v>
      </c>
      <c r="F49" s="6">
        <f t="shared" si="0"/>
        <v>1350</v>
      </c>
    </row>
    <row r="50" spans="1:6">
      <c r="A50" s="5">
        <v>46127</v>
      </c>
      <c r="B50" s="2" t="s">
        <v>8</v>
      </c>
      <c r="C50" s="2">
        <v>200</v>
      </c>
      <c r="D50" s="2">
        <v>61.5</v>
      </c>
      <c r="E50" s="2">
        <v>0.09</v>
      </c>
      <c r="F50" s="6">
        <f t="shared" si="0"/>
        <v>12300</v>
      </c>
    </row>
    <row r="51" spans="1:6">
      <c r="A51" s="5">
        <v>46131</v>
      </c>
      <c r="B51" s="2" t="s">
        <v>8</v>
      </c>
      <c r="C51" s="2">
        <v>200</v>
      </c>
      <c r="D51" s="2">
        <v>61.5</v>
      </c>
      <c r="E51" s="2">
        <v>0.09</v>
      </c>
      <c r="F51" s="6">
        <f t="shared" si="0"/>
        <v>12300</v>
      </c>
    </row>
    <row r="52" spans="1:6">
      <c r="A52" s="5">
        <v>46134</v>
      </c>
      <c r="B52" s="2" t="s">
        <v>19</v>
      </c>
      <c r="C52" s="2">
        <v>20</v>
      </c>
      <c r="D52" s="2">
        <v>39</v>
      </c>
      <c r="E52" s="2">
        <v>0.13</v>
      </c>
      <c r="F52" s="6">
        <f t="shared" si="0"/>
        <v>780</v>
      </c>
    </row>
    <row r="53" spans="1:6">
      <c r="A53" s="5">
        <v>46136</v>
      </c>
      <c r="B53" s="2" t="s">
        <v>17</v>
      </c>
      <c r="C53" s="2">
        <v>100</v>
      </c>
      <c r="D53" s="2">
        <v>46</v>
      </c>
      <c r="E53" s="2">
        <v>0.09</v>
      </c>
      <c r="F53" s="6">
        <f t="shared" si="0"/>
        <v>4600</v>
      </c>
    </row>
    <row r="54" spans="1:6">
      <c r="A54" s="5">
        <v>46136</v>
      </c>
      <c r="B54" s="2" t="s">
        <v>8</v>
      </c>
      <c r="C54" s="2">
        <v>200</v>
      </c>
      <c r="D54" s="2">
        <v>61.5</v>
      </c>
      <c r="E54" s="2">
        <v>0.09</v>
      </c>
      <c r="F54" s="6">
        <f t="shared" si="0"/>
        <v>12300</v>
      </c>
    </row>
    <row r="55" spans="1:6">
      <c r="A55" s="8">
        <v>46141</v>
      </c>
      <c r="B55" s="9" t="s">
        <v>8</v>
      </c>
      <c r="C55" s="9">
        <v>200</v>
      </c>
      <c r="D55" s="9">
        <v>61.5</v>
      </c>
      <c r="E55" s="9">
        <v>0.09</v>
      </c>
      <c r="F55" s="10">
        <f t="shared" si="0"/>
        <v>12300</v>
      </c>
    </row>
    <row r="56" spans="1:6">
      <c r="A56" s="8"/>
      <c r="B56" s="9" t="s">
        <v>15</v>
      </c>
      <c r="C56" s="9">
        <v>100</v>
      </c>
      <c r="D56" s="9">
        <v>29</v>
      </c>
      <c r="E56" s="9">
        <v>0.01</v>
      </c>
      <c r="F56" s="10">
        <f t="shared" si="0"/>
        <v>2900</v>
      </c>
    </row>
    <row r="57" spans="1:6">
      <c r="A57" s="8">
        <v>46138</v>
      </c>
      <c r="B57" s="9" t="s">
        <v>8</v>
      </c>
      <c r="C57" s="9">
        <v>200</v>
      </c>
      <c r="D57" s="9">
        <v>61.5</v>
      </c>
      <c r="E57" s="9">
        <v>0.09</v>
      </c>
      <c r="F57" s="10">
        <f t="shared" si="0"/>
        <v>12300</v>
      </c>
    </row>
    <row r="58" spans="1:6">
      <c r="A58" s="8">
        <v>46138</v>
      </c>
      <c r="B58" s="9" t="s">
        <v>26</v>
      </c>
      <c r="C58" s="9">
        <v>60</v>
      </c>
      <c r="D58" s="9">
        <v>53</v>
      </c>
      <c r="E58" s="9">
        <v>0.09</v>
      </c>
      <c r="F58" s="10">
        <f t="shared" si="0"/>
        <v>3180</v>
      </c>
    </row>
    <row r="59" spans="1:6">
      <c r="A59" s="8">
        <v>46139</v>
      </c>
      <c r="B59" s="9" t="s">
        <v>26</v>
      </c>
      <c r="C59" s="9">
        <v>30</v>
      </c>
      <c r="D59" s="9">
        <v>53</v>
      </c>
      <c r="E59" s="9">
        <v>0.09</v>
      </c>
      <c r="F59" s="10">
        <f t="shared" si="0"/>
        <v>1590</v>
      </c>
    </row>
    <row r="60" spans="1:6">
      <c r="A60" s="8">
        <v>46140</v>
      </c>
      <c r="B60" s="9" t="s">
        <v>26</v>
      </c>
      <c r="C60" s="9">
        <v>30</v>
      </c>
      <c r="D60" s="9">
        <v>53</v>
      </c>
      <c r="E60" s="9">
        <v>0.09</v>
      </c>
      <c r="F60" s="10">
        <f t="shared" si="0"/>
        <v>1590</v>
      </c>
    </row>
    <row r="61" spans="1:6">
      <c r="A61" s="8">
        <v>46141</v>
      </c>
      <c r="B61" s="9" t="s">
        <v>26</v>
      </c>
      <c r="C61" s="9">
        <v>0</v>
      </c>
      <c r="D61" s="9">
        <v>53</v>
      </c>
      <c r="E61" s="9">
        <v>0.09</v>
      </c>
      <c r="F61" s="10">
        <f t="shared" si="0"/>
        <v>0</v>
      </c>
    </row>
    <row r="62" spans="1:6">
      <c r="A62" s="8">
        <v>46142</v>
      </c>
      <c r="B62" s="9" t="s">
        <v>26</v>
      </c>
      <c r="C62" s="9">
        <v>70</v>
      </c>
      <c r="D62" s="9">
        <v>53</v>
      </c>
      <c r="E62" s="9">
        <v>0.09</v>
      </c>
      <c r="F62" s="10">
        <f t="shared" si="0"/>
        <v>3710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G22" sqref="G22"/>
    </sheetView>
  </sheetViews>
  <sheetFormatPr defaultColWidth="9" defaultRowHeight="13.5" outlineLevelRow="2" outlineLevelCol="2"/>
  <cols>
    <col min="1" max="3" width="13.375" customWidth="1"/>
  </cols>
  <sheetData>
    <row r="1" ht="14.25" spans="1:3">
      <c r="A1" s="1" t="s">
        <v>1</v>
      </c>
      <c r="B1" s="1" t="s">
        <v>2</v>
      </c>
      <c r="C1" s="1" t="s">
        <v>3</v>
      </c>
    </row>
    <row r="2" spans="1:3">
      <c r="A2" s="2" t="s">
        <v>6</v>
      </c>
      <c r="B2" s="2">
        <v>23</v>
      </c>
      <c r="C2" s="2">
        <v>7.1</v>
      </c>
    </row>
    <row r="3" spans="1:3">
      <c r="A3" s="2" t="s">
        <v>7</v>
      </c>
      <c r="B3" s="2">
        <v>2</v>
      </c>
      <c r="C3" s="2">
        <v>7.1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E24" sqref="E24"/>
    </sheetView>
  </sheetViews>
  <sheetFormatPr defaultColWidth="9" defaultRowHeight="13.5" outlineLevelRow="2" outlineLevelCol="1"/>
  <cols>
    <col min="1" max="1" width="12.625" customWidth="1"/>
    <col min="2" max="2" width="12.25" customWidth="1"/>
  </cols>
  <sheetData>
    <row r="1" ht="14.25" spans="1:2">
      <c r="A1" s="1" t="s">
        <v>1</v>
      </c>
      <c r="B1" s="1" t="s">
        <v>2</v>
      </c>
    </row>
    <row r="2" spans="1:2">
      <c r="A2" s="2" t="s">
        <v>6</v>
      </c>
      <c r="B2" s="2">
        <v>23</v>
      </c>
    </row>
    <row r="3" spans="1:2">
      <c r="A3" s="2" t="s">
        <v>7</v>
      </c>
      <c r="B3" s="2">
        <v>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D12" sqref="D12"/>
    </sheetView>
  </sheetViews>
  <sheetFormatPr defaultColWidth="9" defaultRowHeight="13.5" outlineLevelRow="2" outlineLevelCol="2"/>
  <cols>
    <col min="1" max="1" width="15.25" customWidth="1"/>
    <col min="2" max="3" width="10.125" customWidth="1"/>
  </cols>
  <sheetData>
    <row r="1" ht="14.25" spans="1:3">
      <c r="A1" s="1" t="s">
        <v>1</v>
      </c>
      <c r="B1" s="1" t="s">
        <v>2</v>
      </c>
      <c r="C1" s="1" t="s">
        <v>3</v>
      </c>
    </row>
    <row r="2" spans="1:3">
      <c r="A2" s="2" t="s">
        <v>6</v>
      </c>
      <c r="B2" s="2">
        <v>23</v>
      </c>
      <c r="C2" s="2">
        <v>7.1</v>
      </c>
    </row>
    <row r="3" spans="1:3">
      <c r="A3" s="2" t="s">
        <v>7</v>
      </c>
      <c r="B3" s="2">
        <v>2</v>
      </c>
      <c r="C3" s="2">
        <v>7.1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F63" sqref="F63"/>
    </sheetView>
  </sheetViews>
  <sheetFormatPr defaultColWidth="9" defaultRowHeight="13.5" outlineLevelRow="2" outlineLevelCol="1"/>
  <cols>
    <col min="1" max="1" width="13.375" customWidth="1"/>
    <col min="2" max="2" width="10.625" customWidth="1"/>
  </cols>
  <sheetData>
    <row r="1" ht="14.25" spans="1:2">
      <c r="A1" s="1" t="s">
        <v>1</v>
      </c>
      <c r="B1" s="1" t="s">
        <v>3</v>
      </c>
    </row>
    <row r="2" spans="1:2">
      <c r="A2" s="2" t="s">
        <v>6</v>
      </c>
      <c r="B2" s="2">
        <v>7.1</v>
      </c>
    </row>
    <row r="3" spans="1:2">
      <c r="A3" s="2" t="s">
        <v>7</v>
      </c>
      <c r="B3" s="2">
        <v>7.1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输入1-入库记录</vt:lpstr>
      <vt:lpstr>输入2-期初</vt:lpstr>
      <vt:lpstr>输入3-出库</vt:lpstr>
      <vt:lpstr>输出1-期末库存</vt:lpstr>
      <vt:lpstr>输出2-出库成本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27448</dc:creator>
  <cp:lastModifiedBy>国宝</cp:lastModifiedBy>
  <dcterms:created xsi:type="dcterms:W3CDTF">2026-06-07T07:34:07Z</dcterms:created>
  <dcterms:modified xsi:type="dcterms:W3CDTF">2026-06-07T14:58:47Z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F2475F74153947909B48217930B9C44C_11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